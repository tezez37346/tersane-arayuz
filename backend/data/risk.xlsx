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İF MELİKE BOZOĞLU\OneDrive\Resimler\Masaüstü\"/>
    </mc:Choice>
  </mc:AlternateContent>
  <xr:revisionPtr revIDLastSave="0" documentId="8_{9BAA4608-0883-4FB8-BF3D-1889BFE01A0C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Risk Tablosu" sheetId="1" r:id="rId1"/>
    <sheet name="Deadline Tablosu" sheetId="2" r:id="rId2"/>
    <sheet name="Sayf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3" l="1"/>
</calcChain>
</file>

<file path=xl/sharedStrings.xml><?xml version="1.0" encoding="utf-8"?>
<sst xmlns="http://schemas.openxmlformats.org/spreadsheetml/2006/main" count="132" uniqueCount="108">
  <si>
    <t>Tehlike</t>
  </si>
  <si>
    <t>Olası Risk</t>
  </si>
  <si>
    <t>Etkilenenler</t>
  </si>
  <si>
    <t>Risk Düzeyi</t>
  </si>
  <si>
    <t>Yüksek</t>
  </si>
  <si>
    <t>Orta</t>
  </si>
  <si>
    <t>Erection</t>
  </si>
  <si>
    <t>Boya</t>
  </si>
  <si>
    <t>CNC Kesim</t>
  </si>
  <si>
    <t>Faz</t>
  </si>
  <si>
    <t>İş Grubu</t>
  </si>
  <si>
    <t>Süre (ay)</t>
  </si>
  <si>
    <t>Gün</t>
  </si>
  <si>
    <t>Mantık</t>
  </si>
  <si>
    <t>F1</t>
  </si>
  <si>
    <t>3 ay</t>
  </si>
  <si>
    <t>~90 gün</t>
  </si>
  <si>
    <t>erken faz</t>
  </si>
  <si>
    <t>F2</t>
  </si>
  <si>
    <t>Ön İmalat + Panel</t>
  </si>
  <si>
    <t>4 ay</t>
  </si>
  <si>
    <t>~120 gün</t>
  </si>
  <si>
    <t>üretim başlangıcı</t>
  </si>
  <si>
    <t>F3</t>
  </si>
  <si>
    <t>Blok Montaj + Kaynak</t>
  </si>
  <si>
    <t>5 ay</t>
  </si>
  <si>
    <t>~150 gün</t>
  </si>
  <si>
    <t>ana üretim</t>
  </si>
  <si>
    <t>F4</t>
  </si>
  <si>
    <t>ana gövde birleşimi</t>
  </si>
  <si>
    <t>F5</t>
  </si>
  <si>
    <t>erection öncesi + sonrası</t>
  </si>
  <si>
    <t>F6</t>
  </si>
  <si>
    <t>Donatım (elektrik vb.)</t>
  </si>
  <si>
    <t>2 ay</t>
  </si>
  <si>
    <t>~60 gün</t>
  </si>
  <si>
    <t>son faz</t>
  </si>
  <si>
    <t>F7</t>
  </si>
  <si>
    <t>Test &amp; Teslim</t>
  </si>
  <si>
    <t>1 ay</t>
  </si>
  <si>
    <t>~30 gün</t>
  </si>
  <si>
    <t>final</t>
  </si>
  <si>
    <t>İş Kodu</t>
  </si>
  <si>
    <t>Faaliyet</t>
  </si>
  <si>
    <t>J1</t>
  </si>
  <si>
    <t>CNC_Sac_Kesim</t>
  </si>
  <si>
    <t>Kesici takım, sac teması</t>
  </si>
  <si>
    <t>Kesilme, uzuv yaralanması</t>
  </si>
  <si>
    <t>CNC operatörü</t>
  </si>
  <si>
    <t>J2</t>
  </si>
  <si>
    <t>Ön_İmalat_Montaj</t>
  </si>
  <si>
    <t>Parça sıkışması, düşen malzeme</t>
  </si>
  <si>
    <t>Ezilme, yaralanma</t>
  </si>
  <si>
    <t>İşçiler</t>
  </si>
  <si>
    <t>J3</t>
  </si>
  <si>
    <t>Ön_İmalat_Kaynak</t>
  </si>
  <si>
    <t>Kaynak dumanı, kıvılcım</t>
  </si>
  <si>
    <t>Yanık, solunum hastalığı</t>
  </si>
  <si>
    <t>Kaynakçı</t>
  </si>
  <si>
    <t>J4</t>
  </si>
  <si>
    <t>Panel_Montaj</t>
  </si>
  <si>
    <t>Büyük sac birleşimi</t>
  </si>
  <si>
    <t>Ezilme, düşme</t>
  </si>
  <si>
    <t>Montaj işçisi</t>
  </si>
  <si>
    <t>J5</t>
  </si>
  <si>
    <t>Panel_Kaynak</t>
  </si>
  <si>
    <t>J6</t>
  </si>
  <si>
    <t>Blok_İmalat_Montaj</t>
  </si>
  <si>
    <t>Ağır blok parçaları</t>
  </si>
  <si>
    <t>Ezilme, ciddi yaralanma</t>
  </si>
  <si>
    <t>J7</t>
  </si>
  <si>
    <t>Blok_İmalat_Kaynak</t>
  </si>
  <si>
    <t>J8</t>
  </si>
  <si>
    <t>Blok_Montaj</t>
  </si>
  <si>
    <t>J9</t>
  </si>
  <si>
    <t>Ön_Donatım</t>
  </si>
  <si>
    <t>Dar alan, kablolama</t>
  </si>
  <si>
    <t>Elektrik çarpması, sıkışma</t>
  </si>
  <si>
    <t>Donatım işçisi</t>
  </si>
  <si>
    <t>J10</t>
  </si>
  <si>
    <t>Blok_Kaynak</t>
  </si>
  <si>
    <t>Yanık, göz hasarı</t>
  </si>
  <si>
    <t>J11</t>
  </si>
  <si>
    <t>Vinç ile kaldırma</t>
  </si>
  <si>
    <t>Yük altında kalma, ölüm</t>
  </si>
  <si>
    <t>Tüm saha</t>
  </si>
  <si>
    <t>Kimyasal gaz, kapalı alan</t>
  </si>
  <si>
    <t>Zehirlenme, solunum problemi</t>
  </si>
  <si>
    <t>Boyacı</t>
  </si>
  <si>
    <t>İş Adımı</t>
  </si>
  <si>
    <t>Süre (gün, yaklaşık)</t>
  </si>
  <si>
    <t>1.0</t>
  </si>
  <si>
    <t>5.5-6</t>
  </si>
  <si>
    <t>O</t>
  </si>
  <si>
    <t>Ş</t>
  </si>
  <si>
    <t>Risk Skoru</t>
  </si>
  <si>
    <t>CNC_On_Imalat</t>
  </si>
  <si>
    <t>CNC_Panel</t>
  </si>
  <si>
    <t>Sac taşıma, kesim işlemi</t>
  </si>
  <si>
    <t>Ezilme, kesilme</t>
  </si>
  <si>
    <t>On_Imalat_Montaj</t>
  </si>
  <si>
    <t>On_Imalat_Kaynak</t>
  </si>
  <si>
    <t>Kaynak, yüksek ısı</t>
  </si>
  <si>
    <t>Blok_Imalat_Montaj</t>
  </si>
  <si>
    <t>Blok_Imalat_Kaynak</t>
  </si>
  <si>
    <t>Yoğun kaynak, kapalı alan</t>
  </si>
  <si>
    <t>Duman, zehirlenme</t>
  </si>
  <si>
    <t>On_Donatim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</si>
</sst>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0" borderId="0" xfId="0" applyNumberFormat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4"/>
  <sheetViews>
    <sheetView tabSelected="1" zoomScale="58" zoomScaleNormal="58" workbookViewId="0">
      <selection activeCell="R16" sqref="R16"/>
    </sheetView>
  </sheetViews>
  <sheetFormatPr defaultRowHeight="15" x14ac:dyDescent="0.25"/>
  <cols>
    <col min="1" max="1" width="16.85546875" customWidth="1"/>
    <col min="2" max="2" width="21" bestFit="1" customWidth="1"/>
    <col min="3" max="3" width="29.85546875" bestFit="1" customWidth="1"/>
    <col min="4" max="4" width="29" bestFit="1" customWidth="1"/>
    <col min="5" max="5" width="13.7109375" bestFit="1" customWidth="1"/>
    <col min="6" max="6" width="7.5703125" bestFit="1" customWidth="1"/>
    <col min="7" max="7" width="6" bestFit="1" customWidth="1"/>
    <col min="8" max="8" width="10" bestFit="1" customWidth="1"/>
  </cols>
  <sheetData>
    <row r="3" spans="1:9" ht="30" x14ac:dyDescent="0.25">
      <c r="A3" s="11" t="s">
        <v>42</v>
      </c>
      <c r="B3" s="11" t="s">
        <v>43</v>
      </c>
      <c r="C3" s="11" t="s">
        <v>0</v>
      </c>
      <c r="D3" s="11" t="s">
        <v>1</v>
      </c>
      <c r="E3" s="11" t="s">
        <v>2</v>
      </c>
      <c r="F3" s="11" t="s">
        <v>93</v>
      </c>
      <c r="G3" s="11" t="s">
        <v>94</v>
      </c>
      <c r="H3" s="11" t="s">
        <v>95</v>
      </c>
      <c r="I3" s="11" t="s">
        <v>3</v>
      </c>
    </row>
    <row r="4" spans="1:9" ht="30" x14ac:dyDescent="0.25">
      <c r="A4" s="12" t="s">
        <v>44</v>
      </c>
      <c r="B4" s="5" t="s">
        <v>96</v>
      </c>
      <c r="C4" s="5" t="s">
        <v>46</v>
      </c>
      <c r="D4" s="5" t="s">
        <v>47</v>
      </c>
      <c r="E4" s="5" t="s">
        <v>48</v>
      </c>
      <c r="F4" s="5">
        <v>2</v>
      </c>
      <c r="G4" s="5">
        <v>4</v>
      </c>
      <c r="H4" s="5">
        <v>8</v>
      </c>
      <c r="I4" s="7" t="s">
        <v>5</v>
      </c>
    </row>
    <row r="5" spans="1:9" ht="30" x14ac:dyDescent="0.25">
      <c r="A5" s="12" t="s">
        <v>49</v>
      </c>
      <c r="B5" s="5" t="s">
        <v>97</v>
      </c>
      <c r="C5" s="5" t="s">
        <v>98</v>
      </c>
      <c r="D5" s="5" t="s">
        <v>99</v>
      </c>
      <c r="E5" s="5" t="s">
        <v>48</v>
      </c>
      <c r="F5" s="5">
        <v>3</v>
      </c>
      <c r="G5" s="5">
        <v>4</v>
      </c>
      <c r="H5" s="5">
        <v>12</v>
      </c>
      <c r="I5" s="7" t="s">
        <v>5</v>
      </c>
    </row>
    <row r="6" spans="1:9" x14ac:dyDescent="0.25">
      <c r="A6" s="12" t="s">
        <v>54</v>
      </c>
      <c r="B6" s="5" t="s">
        <v>100</v>
      </c>
      <c r="C6" s="5" t="s">
        <v>51</v>
      </c>
      <c r="D6" s="5" t="s">
        <v>52</v>
      </c>
      <c r="E6" s="5" t="s">
        <v>53</v>
      </c>
      <c r="F6" s="5">
        <v>3</v>
      </c>
      <c r="G6" s="5">
        <v>4</v>
      </c>
      <c r="H6" s="5">
        <v>12</v>
      </c>
      <c r="I6" s="7" t="s">
        <v>5</v>
      </c>
    </row>
    <row r="7" spans="1:9" x14ac:dyDescent="0.25">
      <c r="A7" s="12" t="s">
        <v>59</v>
      </c>
      <c r="B7" s="5" t="s">
        <v>101</v>
      </c>
      <c r="C7" s="5" t="s">
        <v>56</v>
      </c>
      <c r="D7" s="5" t="s">
        <v>57</v>
      </c>
      <c r="E7" s="5" t="s">
        <v>58</v>
      </c>
      <c r="F7" s="5">
        <v>4</v>
      </c>
      <c r="G7" s="5">
        <v>5</v>
      </c>
      <c r="H7" s="5">
        <v>20</v>
      </c>
      <c r="I7" s="6" t="s">
        <v>4</v>
      </c>
    </row>
    <row r="8" spans="1:9" x14ac:dyDescent="0.25">
      <c r="A8" s="12" t="s">
        <v>64</v>
      </c>
      <c r="B8" s="5" t="s">
        <v>60</v>
      </c>
      <c r="C8" s="5" t="s">
        <v>61</v>
      </c>
      <c r="D8" s="5" t="s">
        <v>62</v>
      </c>
      <c r="E8" s="5" t="s">
        <v>63</v>
      </c>
      <c r="F8" s="5">
        <v>3</v>
      </c>
      <c r="G8" s="5">
        <v>4</v>
      </c>
      <c r="H8" s="5">
        <v>12</v>
      </c>
      <c r="I8" s="7" t="s">
        <v>5</v>
      </c>
    </row>
    <row r="9" spans="1:9" x14ac:dyDescent="0.25">
      <c r="A9" s="12" t="s">
        <v>66</v>
      </c>
      <c r="B9" s="5" t="s">
        <v>65</v>
      </c>
      <c r="C9" s="5" t="s">
        <v>102</v>
      </c>
      <c r="D9" s="5" t="s">
        <v>81</v>
      </c>
      <c r="E9" s="5" t="s">
        <v>58</v>
      </c>
      <c r="F9" s="5">
        <v>4</v>
      </c>
      <c r="G9" s="5">
        <v>5</v>
      </c>
      <c r="H9" s="5">
        <v>20</v>
      </c>
      <c r="I9" s="6" t="s">
        <v>4</v>
      </c>
    </row>
    <row r="10" spans="1:9" x14ac:dyDescent="0.25">
      <c r="A10" s="12" t="s">
        <v>70</v>
      </c>
      <c r="B10" s="5" t="s">
        <v>103</v>
      </c>
      <c r="C10" s="5" t="s">
        <v>68</v>
      </c>
      <c r="D10" s="5" t="s">
        <v>69</v>
      </c>
      <c r="E10" s="5" t="s">
        <v>63</v>
      </c>
      <c r="F10" s="5">
        <v>4</v>
      </c>
      <c r="G10" s="5">
        <v>4</v>
      </c>
      <c r="H10" s="5">
        <v>16</v>
      </c>
      <c r="I10" s="6" t="s">
        <v>4</v>
      </c>
    </row>
    <row r="11" spans="1:9" x14ac:dyDescent="0.25">
      <c r="A11" s="12" t="s">
        <v>72</v>
      </c>
      <c r="B11" s="5" t="s">
        <v>104</v>
      </c>
      <c r="C11" s="5" t="s">
        <v>105</v>
      </c>
      <c r="D11" s="5" t="s">
        <v>106</v>
      </c>
      <c r="E11" s="5" t="s">
        <v>58</v>
      </c>
      <c r="F11" s="5">
        <v>4</v>
      </c>
      <c r="G11" s="5">
        <v>5</v>
      </c>
      <c r="H11" s="5">
        <v>20</v>
      </c>
      <c r="I11" s="6" t="s">
        <v>4</v>
      </c>
    </row>
    <row r="12" spans="1:9" x14ac:dyDescent="0.25">
      <c r="A12" s="12" t="s">
        <v>74</v>
      </c>
      <c r="B12" s="5" t="s">
        <v>107</v>
      </c>
      <c r="C12" s="5" t="s">
        <v>76</v>
      </c>
      <c r="D12" s="5" t="s">
        <v>77</v>
      </c>
      <c r="E12" s="5" t="s">
        <v>78</v>
      </c>
      <c r="F12" s="5">
        <v>3</v>
      </c>
      <c r="G12" s="5">
        <v>4</v>
      </c>
      <c r="H12" s="5">
        <v>12</v>
      </c>
      <c r="I12" s="7" t="s">
        <v>5</v>
      </c>
    </row>
    <row r="13" spans="1:9" x14ac:dyDescent="0.25">
      <c r="A13" s="12" t="s">
        <v>79</v>
      </c>
      <c r="B13" s="5" t="s">
        <v>6</v>
      </c>
      <c r="C13" s="5" t="s">
        <v>83</v>
      </c>
      <c r="D13" s="5" t="s">
        <v>84</v>
      </c>
      <c r="E13" s="5" t="s">
        <v>85</v>
      </c>
      <c r="F13" s="5">
        <v>5</v>
      </c>
      <c r="G13" s="5">
        <v>5</v>
      </c>
      <c r="H13" s="5">
        <v>25</v>
      </c>
      <c r="I13" s="6" t="s">
        <v>4</v>
      </c>
    </row>
    <row r="14" spans="1:9" ht="30" x14ac:dyDescent="0.25">
      <c r="A14" s="12" t="s">
        <v>82</v>
      </c>
      <c r="B14" s="5" t="s">
        <v>7</v>
      </c>
      <c r="C14" s="5" t="s">
        <v>86</v>
      </c>
      <c r="D14" s="5" t="s">
        <v>87</v>
      </c>
      <c r="E14" s="5" t="s">
        <v>88</v>
      </c>
      <c r="F14" s="5">
        <v>3</v>
      </c>
      <c r="G14" s="5">
        <v>4</v>
      </c>
      <c r="H14" s="5">
        <v>12</v>
      </c>
      <c r="I14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53A4-B583-4912-83C6-6A23704E63A5}">
  <dimension ref="B2:F9"/>
  <sheetViews>
    <sheetView workbookViewId="0">
      <selection activeCell="E24" sqref="E24"/>
    </sheetView>
  </sheetViews>
  <sheetFormatPr defaultRowHeight="15" x14ac:dyDescent="0.25"/>
  <cols>
    <col min="2" max="2" width="12.28515625" customWidth="1"/>
    <col min="3" max="3" width="22.140625" customWidth="1"/>
    <col min="4" max="4" width="12.7109375" customWidth="1"/>
    <col min="5" max="5" width="13" customWidth="1"/>
    <col min="6" max="6" width="13.28515625" customWidth="1"/>
  </cols>
  <sheetData>
    <row r="2" spans="2:6" x14ac:dyDescent="0.25"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</row>
    <row r="3" spans="2:6" x14ac:dyDescent="0.25">
      <c r="B3" s="9" t="s">
        <v>14</v>
      </c>
      <c r="C3" s="5" t="s">
        <v>8</v>
      </c>
      <c r="D3" s="5" t="s">
        <v>15</v>
      </c>
      <c r="E3" s="5" t="s">
        <v>16</v>
      </c>
      <c r="F3" s="5" t="s">
        <v>17</v>
      </c>
    </row>
    <row r="4" spans="2:6" ht="30" x14ac:dyDescent="0.25">
      <c r="B4" s="9" t="s">
        <v>18</v>
      </c>
      <c r="C4" s="5" t="s">
        <v>19</v>
      </c>
      <c r="D4" s="5" t="s">
        <v>20</v>
      </c>
      <c r="E4" s="5" t="s">
        <v>21</v>
      </c>
      <c r="F4" s="5" t="s">
        <v>22</v>
      </c>
    </row>
    <row r="5" spans="2:6" x14ac:dyDescent="0.25">
      <c r="B5" s="9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spans="2:6" ht="30" x14ac:dyDescent="0.25">
      <c r="B6" s="9" t="s">
        <v>28</v>
      </c>
      <c r="C6" s="5" t="s">
        <v>6</v>
      </c>
      <c r="D6" s="5" t="s">
        <v>20</v>
      </c>
      <c r="E6" s="5" t="s">
        <v>21</v>
      </c>
      <c r="F6" s="5" t="s">
        <v>29</v>
      </c>
    </row>
    <row r="7" spans="2:6" ht="45" x14ac:dyDescent="0.25">
      <c r="B7" s="9" t="s">
        <v>30</v>
      </c>
      <c r="C7" s="5" t="s">
        <v>7</v>
      </c>
      <c r="D7" s="5" t="s">
        <v>15</v>
      </c>
      <c r="E7" s="5" t="s">
        <v>16</v>
      </c>
      <c r="F7" s="5" t="s">
        <v>31</v>
      </c>
    </row>
    <row r="8" spans="2:6" x14ac:dyDescent="0.25">
      <c r="B8" s="9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spans="2:6" x14ac:dyDescent="0.25">
      <c r="B9" s="9" t="s">
        <v>37</v>
      </c>
      <c r="C9" s="5" t="s">
        <v>38</v>
      </c>
      <c r="D9" s="5" t="s">
        <v>39</v>
      </c>
      <c r="E9" s="5" t="s">
        <v>40</v>
      </c>
      <c r="F9" s="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B930-156D-4715-B3B6-88B38B23E91A}">
  <dimension ref="C4:L16"/>
  <sheetViews>
    <sheetView workbookViewId="0">
      <selection activeCell="D7" sqref="D7"/>
    </sheetView>
  </sheetViews>
  <sheetFormatPr defaultRowHeight="15" x14ac:dyDescent="0.25"/>
  <cols>
    <col min="3" max="3" width="32.85546875" customWidth="1"/>
    <col min="4" max="4" width="35.5703125" customWidth="1"/>
    <col min="5" max="5" width="35.85546875" customWidth="1"/>
  </cols>
  <sheetData>
    <row r="4" spans="3:12" x14ac:dyDescent="0.25">
      <c r="C4" s="1" t="s">
        <v>89</v>
      </c>
      <c r="D4" s="3" t="s">
        <v>11</v>
      </c>
      <c r="E4" s="3" t="s">
        <v>90</v>
      </c>
    </row>
    <row r="5" spans="3:12" x14ac:dyDescent="0.25">
      <c r="C5" s="4" t="s">
        <v>45</v>
      </c>
      <c r="D5" s="10" t="s">
        <v>92</v>
      </c>
      <c r="E5" s="2">
        <v>60</v>
      </c>
    </row>
    <row r="6" spans="3:12" x14ac:dyDescent="0.25">
      <c r="C6" s="4" t="s">
        <v>50</v>
      </c>
      <c r="D6" s="10">
        <v>6</v>
      </c>
      <c r="E6" s="2">
        <v>36</v>
      </c>
    </row>
    <row r="7" spans="3:12" x14ac:dyDescent="0.25">
      <c r="C7" s="4" t="s">
        <v>55</v>
      </c>
      <c r="D7" s="10" t="s">
        <v>91</v>
      </c>
      <c r="E7" s="2">
        <v>30</v>
      </c>
    </row>
    <row r="8" spans="3:12" x14ac:dyDescent="0.25">
      <c r="C8" s="4" t="s">
        <v>60</v>
      </c>
      <c r="D8" s="10">
        <v>46054</v>
      </c>
      <c r="E8" s="2">
        <v>36</v>
      </c>
    </row>
    <row r="9" spans="3:12" x14ac:dyDescent="0.25">
      <c r="C9" s="4" t="s">
        <v>65</v>
      </c>
      <c r="D9" s="10">
        <v>46054</v>
      </c>
      <c r="E9" s="2">
        <v>36</v>
      </c>
    </row>
    <row r="10" spans="3:12" x14ac:dyDescent="0.25">
      <c r="C10" s="4" t="s">
        <v>67</v>
      </c>
      <c r="D10" s="10">
        <v>46235</v>
      </c>
      <c r="E10" s="2">
        <v>54</v>
      </c>
      <c r="L10">
        <f>36*4</f>
        <v>144</v>
      </c>
    </row>
    <row r="11" spans="3:12" x14ac:dyDescent="0.25">
      <c r="C11" s="4" t="s">
        <v>71</v>
      </c>
      <c r="D11" s="10">
        <v>46235</v>
      </c>
      <c r="E11" s="2">
        <v>54</v>
      </c>
    </row>
    <row r="12" spans="3:12" x14ac:dyDescent="0.25">
      <c r="C12" s="4" t="s">
        <v>73</v>
      </c>
      <c r="D12" s="10">
        <v>46055</v>
      </c>
      <c r="E12" s="2">
        <v>66</v>
      </c>
    </row>
    <row r="13" spans="3:12" x14ac:dyDescent="0.25">
      <c r="C13" s="4" t="s">
        <v>75</v>
      </c>
      <c r="D13" s="10">
        <v>46143</v>
      </c>
      <c r="E13" s="2">
        <v>45</v>
      </c>
    </row>
    <row r="14" spans="3:12" x14ac:dyDescent="0.25">
      <c r="C14" s="4" t="s">
        <v>80</v>
      </c>
      <c r="D14" s="10">
        <v>46054</v>
      </c>
      <c r="E14" s="2">
        <v>36</v>
      </c>
    </row>
    <row r="15" spans="3:12" x14ac:dyDescent="0.25">
      <c r="C15" s="4" t="s">
        <v>6</v>
      </c>
      <c r="D15" s="10">
        <v>46113</v>
      </c>
      <c r="E15" s="2">
        <v>42</v>
      </c>
    </row>
    <row r="16" spans="3:12" x14ac:dyDescent="0.25">
      <c r="C16" s="4" t="s">
        <v>7</v>
      </c>
      <c r="D16" s="10">
        <v>46143</v>
      </c>
      <c r="E16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Risk Tablosu</vt:lpstr>
      <vt:lpstr>Deadline Tablosu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ELİF MELİKE BOZOĞLU</dc:creator>
  <cp:lastModifiedBy>ELIF MELIKE BOZOGLU</cp:lastModifiedBy>
  <dcterms:created xsi:type="dcterms:W3CDTF">2015-06-05T18:17:20Z</dcterms:created>
  <dcterms:modified xsi:type="dcterms:W3CDTF">2026-05-05T13:49:29Z</dcterms:modified>
</cp:coreProperties>
</file>